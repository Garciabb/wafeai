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📧 Correos Outreach" sheetId="1" state="visible" r:id="rId1"/>
    <sheet xmlns:r="http://schemas.openxmlformats.org/officeDocument/2006/relationships" name="📱 Instagram Outreach" sheetId="2" state="visible" r:id="rId2"/>
    <sheet xmlns:r="http://schemas.openxmlformats.org/officeDocument/2006/relationships" name="📊 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1A5C2A"/>
      <sz val="11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BBF7D0"/>
      </patternFill>
    </fill>
    <fill>
      <patternFill patternType="solid">
        <fgColor rgb="0022C55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2" customWidth="1" min="4" max="4"/>
    <col width="42" customWidth="1" min="5" max="5"/>
    <col width="18" customWidth="1" min="6" max="6"/>
    <col width="16" customWidth="1" min="7" max="7"/>
    <col width="50" customWidth="1" min="8" max="8"/>
    <col width="24" customWidth="1" min="9" max="9"/>
    <col width="30" customWidth="1" min="10" max="10"/>
  </cols>
  <sheetData>
    <row r="1" ht="36" customHeight="1">
      <c r="A1" s="1" t="inlineStr">
        <is>
          <t>Empresa / Organización</t>
        </is>
      </c>
      <c r="B1" s="1" t="inlineStr">
        <is>
          <t>Tipo</t>
        </is>
      </c>
      <c r="C1" s="1" t="inlineStr">
        <is>
          <t>Contacto</t>
        </is>
      </c>
      <c r="D1" s="1" t="inlineStr">
        <is>
          <t>Email</t>
        </is>
      </c>
      <c r="E1" s="1" t="inlineStr">
        <is>
          <t>Asunto del correo</t>
        </is>
      </c>
      <c r="F1" s="1" t="inlineStr">
        <is>
          <t>Estado</t>
        </is>
      </c>
      <c r="G1" s="1" t="inlineStr">
        <is>
          <t>Video insertado</t>
        </is>
      </c>
      <c r="H1" s="1" t="inlineStr">
        <is>
          <t>Descripción / Perfil</t>
        </is>
      </c>
      <c r="I1" s="1" t="inlineStr">
        <is>
          <t>Instagram</t>
        </is>
      </c>
      <c r="J1" s="1" t="inlineStr">
        <is>
          <t>Notas</t>
        </is>
      </c>
    </row>
    <row r="2" ht="40" customHeight="1">
      <c r="A2" s="2" t="inlineStr">
        <is>
          <t>Confiar Cooperativa</t>
        </is>
      </c>
      <c r="B2" s="3" t="inlineStr">
        <is>
          <t>Cooperativa</t>
        </is>
      </c>
      <c r="C2" s="4" t="inlineStr">
        <is>
          <t>Leandro</t>
        </is>
      </c>
      <c r="D2" s="5" t="inlineStr">
        <is>
          <t>confiar@confiar.coop</t>
        </is>
      </c>
      <c r="E2" s="5" t="inlineStr">
        <is>
          <t>Confiar Cooperativa — ¿cuánto les costó la cartera vencida este año?</t>
        </is>
      </c>
      <c r="F2" s="6" t="inlineStr">
        <is>
          <t>📝 Borrador</t>
        </is>
      </c>
      <c r="G2" s="4" t="inlineStr">
        <is>
          <t>❌ No</t>
        </is>
      </c>
      <c r="H2" s="5" t="inlineStr">
        <is>
          <t>Cooperativa financiera en Medellín, +20 años, miles de asociados activos. Enfocada en empleados y sector solidario antioqueño.</t>
        </is>
      </c>
      <c r="I2" s="4" t="inlineStr">
        <is>
          <t>@coopconfiar</t>
        </is>
      </c>
      <c r="J2" s="5" t="inlineStr">
        <is>
          <t>Sin enlace de video — agregar antes de enviar</t>
        </is>
      </c>
    </row>
    <row r="3" ht="40" customHeight="1">
      <c r="A3" s="2" t="inlineStr">
        <is>
          <t>Cotrafa</t>
        </is>
      </c>
      <c r="B3" s="3" t="inlineStr">
        <is>
          <t>Cooperativa</t>
        </is>
      </c>
      <c r="C3" s="4" t="inlineStr">
        <is>
          <t>—</t>
        </is>
      </c>
      <c r="D3" s="5" t="inlineStr">
        <is>
          <t>servicioalcliente@cotrafa.com.co</t>
        </is>
      </c>
      <c r="E3" s="5" t="inlineStr">
        <is>
          <t>Cotrafa — ¿cuánto les costó la cartera vencida este año?</t>
        </is>
      </c>
      <c r="F3" s="6" t="inlineStr">
        <is>
          <t>📝 Borrador</t>
        </is>
      </c>
      <c r="G3" s="4" t="inlineStr">
        <is>
          <t>❌ No</t>
        </is>
      </c>
      <c r="H3" s="5" t="inlineStr">
        <is>
          <t>Cooperativa financiera con ~70 años y 54 oficinas en Antioquia y Cundinamarca. Una de las más grandes del sector solidario.</t>
        </is>
      </c>
      <c r="I3" s="4" t="inlineStr">
        <is>
          <t>@cotrafa</t>
        </is>
      </c>
      <c r="J3" s="5" t="inlineStr"/>
    </row>
    <row r="4" ht="40" customHeight="1">
      <c r="A4" s="2" t="inlineStr">
        <is>
          <t>Coofinep</t>
        </is>
      </c>
      <c r="B4" s="3" t="inlineStr">
        <is>
          <t>Cooperativa</t>
        </is>
      </c>
      <c r="C4" s="4" t="inlineStr">
        <is>
          <t>Oscar</t>
        </is>
      </c>
      <c r="D4" s="5" t="inlineStr">
        <is>
          <t>coofinep@coofinep.com</t>
        </is>
      </c>
      <c r="E4" s="5" t="inlineStr">
        <is>
          <t>Coofinep — ¿cuánto les costó la cartera vencida este año?</t>
        </is>
      </c>
      <c r="F4" s="6" t="inlineStr">
        <is>
          <t>📝 Borrador</t>
        </is>
      </c>
      <c r="G4" s="4" t="inlineStr">
        <is>
          <t>❌ No</t>
        </is>
      </c>
      <c r="H4" s="5" t="inlineStr">
        <is>
          <t>Cooperativa financiera de base popular en Medellín. Orientada a estratos medios y bajos. Alta penetración barrial.</t>
        </is>
      </c>
      <c r="I4" s="4" t="inlineStr">
        <is>
          <t>@coofinep</t>
        </is>
      </c>
      <c r="J4" s="5" t="inlineStr"/>
    </row>
    <row r="5" ht="40" customHeight="1">
      <c r="A5" s="2" t="inlineStr">
        <is>
          <t>JFK Cooperativa</t>
        </is>
      </c>
      <c r="B5" s="3" t="inlineStr">
        <is>
          <t>Cooperativa</t>
        </is>
      </c>
      <c r="C5" s="4" t="inlineStr">
        <is>
          <t>—</t>
        </is>
      </c>
      <c r="D5" s="5" t="inlineStr">
        <is>
          <t>gerencia@jfk.com.co</t>
        </is>
      </c>
      <c r="E5" s="5" t="inlineStr">
        <is>
          <t>JFK Cooperativa — ¿cuánto les costó la cartera vencida este año?</t>
        </is>
      </c>
      <c r="F5" s="6" t="inlineStr">
        <is>
          <t>📝 Borrador</t>
        </is>
      </c>
      <c r="G5" s="4" t="inlineStr">
        <is>
          <t>❌ No</t>
        </is>
      </c>
      <c r="H5" s="5" t="inlineStr">
        <is>
          <t>Cooperativa con +$51.000M en excedentes (2023). Presencia nacional. Segmento profesional y empresarial.</t>
        </is>
      </c>
      <c r="I5" s="4" t="inlineStr">
        <is>
          <t>@jfkcooperativa</t>
        </is>
      </c>
      <c r="J5" s="5" t="inlineStr"/>
    </row>
    <row r="6" ht="40" customHeight="1">
      <c r="A6" s="2" t="inlineStr">
        <is>
          <t>Coomeva</t>
        </is>
      </c>
      <c r="B6" s="3" t="inlineStr">
        <is>
          <t>Cooperativa</t>
        </is>
      </c>
      <c r="C6" s="4" t="inlineStr">
        <is>
          <t>—</t>
        </is>
      </c>
      <c r="D6" s="5" t="inlineStr">
        <is>
          <t>gerencia@coomeva.com.co</t>
        </is>
      </c>
      <c r="E6" s="5" t="inlineStr">
        <is>
          <t>Coomeva — ¿cuánto les costó la cartera vencida este año?</t>
        </is>
      </c>
      <c r="F6" s="6" t="inlineStr">
        <is>
          <t>📝 Borrador</t>
        </is>
      </c>
      <c r="G6" s="4" t="inlineStr">
        <is>
          <t>❌ No</t>
        </is>
      </c>
      <c r="H6" s="5" t="inlineStr">
        <is>
          <t>Una de las cooperativas más grandes de Colombia. Atiende médicos y profesionales de la salud. Portafolio de crédito, seguros y salud.</t>
        </is>
      </c>
      <c r="I6" s="4" t="inlineStr">
        <is>
          <t>@coomeva_oficial</t>
        </is>
      </c>
      <c r="J6" s="5" t="inlineStr">
        <is>
          <t>Borrador viejo (Marco) a eliminar — conservar el nuevo</t>
        </is>
      </c>
    </row>
    <row r="7" ht="40" customHeight="1">
      <c r="A7" s="2" t="inlineStr">
        <is>
          <t>Coopcentral</t>
        </is>
      </c>
      <c r="B7" s="3" t="inlineStr">
        <is>
          <t>Cooperativa</t>
        </is>
      </c>
      <c r="C7" s="4" t="inlineStr">
        <is>
          <t>—</t>
        </is>
      </c>
      <c r="D7" s="5" t="inlineStr">
        <is>
          <t>gerencia@coopcentral.com.co</t>
        </is>
      </c>
      <c r="E7" s="5" t="inlineStr">
        <is>
          <t>Coopcentral — ¿cuánto les costó la cartera vencida este año?</t>
        </is>
      </c>
      <c r="F7" s="6" t="inlineStr">
        <is>
          <t>📝 Borrador</t>
        </is>
      </c>
      <c r="G7" s="4" t="inlineStr">
        <is>
          <t>❌ No</t>
        </is>
      </c>
      <c r="H7" s="5" t="inlineStr">
        <is>
          <t>Banco Cooperativo que sirve a decenas de cooperativas asociadas en todo el país. Actúa como banco de segundo piso del sector solidario.</t>
        </is>
      </c>
      <c r="I7" s="4" t="inlineStr">
        <is>
          <t>@bancooopcentral</t>
        </is>
      </c>
      <c r="J7" s="5" t="inlineStr"/>
    </row>
    <row r="8" ht="40" customHeight="1">
      <c r="A8" s="2" t="inlineStr">
        <is>
          <t>Comultrasan</t>
        </is>
      </c>
      <c r="B8" s="3" t="inlineStr">
        <is>
          <t>Cooperativa</t>
        </is>
      </c>
      <c r="C8" s="4" t="inlineStr">
        <is>
          <t>Socorro</t>
        </is>
      </c>
      <c r="D8" s="5" t="inlineStr">
        <is>
          <t>gerencia.servicio@comultrasan.com.co</t>
        </is>
      </c>
      <c r="E8" s="5" t="inlineStr">
        <is>
          <t>Comultrasan — ¿cuánto les costó la cartera vencida este año?</t>
        </is>
      </c>
      <c r="F8" s="6" t="inlineStr">
        <is>
          <t>📝 Borrador</t>
        </is>
      </c>
      <c r="G8" s="4" t="inlineStr">
        <is>
          <t>❌ No</t>
        </is>
      </c>
      <c r="H8" s="5" t="inlineStr">
        <is>
          <t>Cooperativa financiera con décadas de presencia en Santander. Base de asociados muy leal. Fuerte en ahorro y crédito.</t>
        </is>
      </c>
      <c r="I8" s="4" t="inlineStr">
        <is>
          <t>@comultrasan</t>
        </is>
      </c>
      <c r="J8" s="5" t="inlineStr"/>
    </row>
    <row r="9" ht="40" customHeight="1">
      <c r="A9" s="2" t="inlineStr">
        <is>
          <t>AyC Colanta</t>
        </is>
      </c>
      <c r="B9" s="3" t="inlineStr">
        <is>
          <t>Cooperativa</t>
        </is>
      </c>
      <c r="C9" s="4" t="inlineStr">
        <is>
          <t>—</t>
        </is>
      </c>
      <c r="D9" s="5" t="inlineStr">
        <is>
          <t>gerencia@ayccolanta.coop</t>
        </is>
      </c>
      <c r="E9" s="5" t="inlineStr">
        <is>
          <t>AyC Colanta — ¿cuánto les costó la cartera vencida este año?</t>
        </is>
      </c>
      <c r="F9" s="6" t="inlineStr">
        <is>
          <t>📝 Borrador</t>
        </is>
      </c>
      <c r="G9" s="4" t="inlineStr">
        <is>
          <t>❌ No</t>
        </is>
      </c>
      <c r="H9" s="5" t="inlineStr">
        <is>
          <t>Cooperativa de ahorro y crédito que sirve a productores y empleados de Colanta en Antioquia y otras regiones.</t>
        </is>
      </c>
      <c r="I9" s="4" t="inlineStr">
        <is>
          <t>@ayccolanta</t>
        </is>
      </c>
      <c r="J9" s="5" t="inlineStr"/>
    </row>
    <row r="10" ht="40" customHeight="1">
      <c r="A10" s="2" t="inlineStr">
        <is>
          <t>Codema</t>
        </is>
      </c>
      <c r="B10" s="3" t="inlineStr">
        <is>
          <t>Cooperativa</t>
        </is>
      </c>
      <c r="C10" s="4" t="inlineStr">
        <is>
          <t>—</t>
        </is>
      </c>
      <c r="D10" s="5" t="inlineStr">
        <is>
          <t>info@codema.coop</t>
        </is>
      </c>
      <c r="E10" s="5" t="inlineStr">
        <is>
          <t>Codema — ¿cuánto les costó la cartera vencida este año?</t>
        </is>
      </c>
      <c r="F10" s="6" t="inlineStr">
        <is>
          <t>📝 Borrador</t>
        </is>
      </c>
      <c r="G10" s="4" t="inlineStr">
        <is>
          <t>❌ No</t>
        </is>
      </c>
      <c r="H10" s="5" t="inlineStr">
        <is>
          <t>Cooperativa del magisterio con +60 años. Atiende docentes asociados. Cartera grande y en crecimiento con cada nuevo vinculado.</t>
        </is>
      </c>
      <c r="I10" s="4" t="inlineStr">
        <is>
          <t>@codema_coop</t>
        </is>
      </c>
      <c r="J10" s="5" t="inlineStr"/>
    </row>
    <row r="11" ht="40" customHeight="1">
      <c r="A11" s="2" t="inlineStr">
        <is>
          <t>Crediservir</t>
        </is>
      </c>
      <c r="B11" s="3" t="inlineStr">
        <is>
          <t>Cooperativa</t>
        </is>
      </c>
      <c r="C11" s="4" t="inlineStr">
        <is>
          <t>—</t>
        </is>
      </c>
      <c r="D11" s="5" t="inlineStr">
        <is>
          <t>plataforma@crediservir.com</t>
        </is>
      </c>
      <c r="E11" s="5" t="inlineStr">
        <is>
          <t>Crediservir — ¿cuánto les costó la cartera vencida este año?</t>
        </is>
      </c>
      <c r="F11" s="6" t="inlineStr">
        <is>
          <t>📝 Borrador</t>
        </is>
      </c>
      <c r="G11" s="4" t="inlineStr">
        <is>
          <t>❌ No</t>
        </is>
      </c>
      <c r="H11" s="5" t="inlineStr">
        <is>
          <t>Cooperativa con ~$1 billón en activos. Presencia en Norte de Santander. Portafolio de crédito al consumo y empresarial.</t>
        </is>
      </c>
      <c r="I11" s="4" t="inlineStr">
        <is>
          <t>@crediservir</t>
        </is>
      </c>
      <c r="J11" s="5" t="inlineStr"/>
    </row>
    <row r="12" ht="40" customHeight="1">
      <c r="A12" s="2" t="inlineStr">
        <is>
          <t>Coomuldesa</t>
        </is>
      </c>
      <c r="B12" s="3" t="inlineStr">
        <is>
          <t>Cooperativa</t>
        </is>
      </c>
      <c r="C12" s="4" t="inlineStr">
        <is>
          <t>Robinson</t>
        </is>
      </c>
      <c r="D12" s="5" t="inlineStr">
        <is>
          <t>coomuldesa@coomuldesa.com</t>
        </is>
      </c>
      <c r="E12" s="5" t="inlineStr">
        <is>
          <t>Coomuldesa — ¿cuánto les costó la cartera vencida este año?</t>
        </is>
      </c>
      <c r="F12" s="6" t="inlineStr">
        <is>
          <t>📝 Borrador</t>
        </is>
      </c>
      <c r="G12" s="4" t="inlineStr">
        <is>
          <t>❌ No</t>
        </is>
      </c>
      <c r="H12" s="5" t="inlineStr">
        <is>
          <t>Cooperativa con +62 años transformando vidas en Santander y Boyacá. 31 oficinas activas. Crédito, ahorro y servicios sociales.</t>
        </is>
      </c>
      <c r="I12" s="4" t="inlineStr">
        <is>
          <t>@coomuldesa</t>
        </is>
      </c>
      <c r="J12" s="5" t="inlineStr"/>
    </row>
    <row r="13" ht="40" customHeight="1">
      <c r="A13" s="2" t="inlineStr">
        <is>
          <t>Addi</t>
        </is>
      </c>
      <c r="B13" s="7" t="inlineStr">
        <is>
          <t>Fintech BNPL</t>
        </is>
      </c>
      <c r="C13" s="4" t="inlineStr">
        <is>
          <t>Santiago</t>
        </is>
      </c>
      <c r="D13" s="5" t="inlineStr">
        <is>
          <t>santiago@addi.com</t>
        </is>
      </c>
      <c r="E13" s="5" t="inlineStr">
        <is>
          <t>Addi — la mora en BNPL se detecta cuando ya es tarde</t>
        </is>
      </c>
      <c r="F13" s="6" t="inlineStr">
        <is>
          <t>📝 Borrador</t>
        </is>
      </c>
      <c r="G13" s="4" t="inlineStr">
        <is>
          <t>❌ No</t>
        </is>
      </c>
      <c r="H13" s="5" t="inlineStr">
        <is>
          <t>Fintech BNPL con +3 millones de clientes activos en Colombia. Crédito en punto de venta para retail. Alto volumen = alta exposición a mora.</t>
        </is>
      </c>
      <c r="I13" s="4" t="inlineStr">
        <is>
          <t>@addico</t>
        </is>
      </c>
      <c r="J13" s="5" t="inlineStr">
        <is>
          <t>Usar este email (santiago@). Eliminar el de hola@addi.com</t>
        </is>
      </c>
    </row>
    <row r="14" ht="40" customHeight="1">
      <c r="A14" s="2" t="inlineStr">
        <is>
          <t>Bold</t>
        </is>
      </c>
      <c r="B14" s="7" t="inlineStr">
        <is>
          <t>Fintech Pymes</t>
        </is>
      </c>
      <c r="C14" s="4" t="inlineStr">
        <is>
          <t>José Vélez</t>
        </is>
      </c>
      <c r="D14" s="5" t="inlineStr">
        <is>
          <t>jvelez@bold.co</t>
        </is>
      </c>
      <c r="E14" s="5" t="inlineStr">
        <is>
          <t>Bold — el crédito a pymes escala rápido, la mora también</t>
        </is>
      </c>
      <c r="F14" s="6" t="inlineStr">
        <is>
          <t>📝 Borrador</t>
        </is>
      </c>
      <c r="G14" s="4" t="inlineStr">
        <is>
          <t>❌ No</t>
        </is>
      </c>
      <c r="H14" s="5" t="inlineStr">
        <is>
          <t>+600.000 pymes clientes en Colombia. Terminal de pagos + capital de trabajo. La mora en cartera pyme es más volátil que consumo.</t>
        </is>
      </c>
      <c r="I14" s="4" t="inlineStr">
        <is>
          <t>@bold_co</t>
        </is>
      </c>
      <c r="J14" s="5" t="inlineStr">
        <is>
          <t>Usar jvelez@bold.co. Eliminar info@bold.co</t>
        </is>
      </c>
    </row>
    <row r="15" ht="40" customHeight="1">
      <c r="A15" s="2" t="inlineStr">
        <is>
          <t>Nu Colombia</t>
        </is>
      </c>
      <c r="B15" s="7" t="inlineStr">
        <is>
          <t>Fintech Tarjeta</t>
        </is>
      </c>
      <c r="C15" s="4" t="inlineStr">
        <is>
          <t>Marcela</t>
        </is>
      </c>
      <c r="D15" s="5" t="inlineStr">
        <is>
          <t>ayuda@nu.com.co</t>
        </is>
      </c>
      <c r="E15" s="5" t="inlineStr">
        <is>
          <t>Nu Colombia — predecir mora antes de que ocurra</t>
        </is>
      </c>
      <c r="F15" s="6" t="inlineStr">
        <is>
          <t>📝 Borrador</t>
        </is>
      </c>
      <c r="G15" s="4" t="inlineStr">
        <is>
          <t>❌ No</t>
        </is>
      </c>
      <c r="H15" s="5" t="inlineStr">
        <is>
          <t>Banco digital con cientos de miles de tarjetahabientes. Modelo 100% digital. La mora en tarjeta de crédito es difícil de detectar temprano.</t>
        </is>
      </c>
      <c r="I15" s="4" t="inlineStr">
        <is>
          <t>@nu_colombia</t>
        </is>
      </c>
      <c r="J15" s="5" t="inlineStr">
        <is>
          <t>Email genérico ayuda@ — buscar contacto directo</t>
        </is>
      </c>
    </row>
    <row r="16" ht="40" customHeight="1">
      <c r="A16" s="2" t="inlineStr">
        <is>
          <t>Banco Falabella Colombia</t>
        </is>
      </c>
      <c r="B16" s="7" t="inlineStr">
        <is>
          <t>Retail Financiero</t>
        </is>
      </c>
      <c r="C16" s="4" t="inlineStr">
        <is>
          <t>Rodrigo Sabugal</t>
        </is>
      </c>
      <c r="D16" s="5" t="inlineStr">
        <is>
          <t>rsabugal@bancofalabella.com.co</t>
        </is>
      </c>
      <c r="E16" s="5" t="inlineStr">
        <is>
          <t>Banco Falabella Colombia — la mora en retail financiero no espera</t>
        </is>
      </c>
      <c r="F16" s="6" t="inlineStr">
        <is>
          <t>📝 Borrador</t>
        </is>
      </c>
      <c r="G16" s="4" t="inlineStr">
        <is>
          <t>❌ No</t>
        </is>
      </c>
      <c r="H16" s="5" t="inlineStr">
        <is>
          <t>Uno de los mayores portafolios de crédito al consumo del retail en Colombia. Tarjeta CMR + crédito personal. Mora se acumula en ciclos de consumo.</t>
        </is>
      </c>
      <c r="I16" s="4" t="inlineStr">
        <is>
          <t>@bancofalabellacol</t>
        </is>
      </c>
      <c r="J16" s="5" t="inlineStr">
        <is>
          <t>Usar rsabugal@. Eliminar contacto@bancofalabella.com.co</t>
        </is>
      </c>
    </row>
    <row r="17" ht="40" customHeight="1">
      <c r="A17" s="2" t="inlineStr">
        <is>
          <t>Tuya</t>
        </is>
      </c>
      <c r="B17" s="7" t="inlineStr">
        <is>
          <t>Retail Financiero</t>
        </is>
      </c>
      <c r="C17" s="4" t="inlineStr">
        <is>
          <t>Carlos Iván Villegas</t>
        </is>
      </c>
      <c r="D17" s="5" t="inlineStr">
        <is>
          <t>civillegas@tuya.com.co</t>
        </is>
      </c>
      <c r="E17" s="5" t="inlineStr">
        <is>
          <t>Tuya — $221.000 millones en cartera vencida es mucho dinero</t>
        </is>
      </c>
      <c r="F17" s="6" t="inlineStr">
        <is>
          <t>📝 Borrador</t>
        </is>
      </c>
      <c r="G17" s="4" t="inlineStr">
        <is>
          <t>❌ No</t>
        </is>
      </c>
      <c r="H17" s="5" t="inlineStr">
        <is>
          <t>Financiera de Grupo Éxito. Cartera $2,7 billones, 8,2% vencida = ~$221.000M sin rotar. Tarjeta Éxito y crédito al consumo masivo.</t>
        </is>
      </c>
      <c r="I17" s="4" t="inlineStr">
        <is>
          <t>@tuya_co</t>
        </is>
      </c>
      <c r="J17" s="5" t="inlineStr">
        <is>
          <t>Usar civillegas@. Eliminar gerencia@tuya.com.co</t>
        </is>
      </c>
    </row>
    <row r="18" ht="40" customHeight="1">
      <c r="A18" s="2" t="inlineStr">
        <is>
          <t>Coomeva (verificar)</t>
        </is>
      </c>
      <c r="B18" s="3" t="inlineStr">
        <is>
          <t>Cooperativa</t>
        </is>
      </c>
      <c r="C18" s="4" t="inlineStr">
        <is>
          <t>—</t>
        </is>
      </c>
      <c r="D18" s="5" t="inlineStr">
        <is>
          <t>gerencia@coomeva.com.co</t>
        </is>
      </c>
      <c r="E18" s="5" t="inlineStr">
        <is>
          <t>Coomeva — ¿cuánto les costó la cartera vencida este año?</t>
        </is>
      </c>
      <c r="F18" s="8" t="inlineStr">
        <is>
          <t>⚠️ Duplicado</t>
        </is>
      </c>
      <c r="G18" s="4" t="inlineStr">
        <is>
          <t>❌ No</t>
        </is>
      </c>
      <c r="H18" s="5" t="inlineStr">
        <is>
          <t>Mismo destinatario que fila 5. Este es el borrador sin nombre específico.</t>
        </is>
      </c>
      <c r="I18" s="4" t="inlineStr">
        <is>
          <t>@coomeva_oficial</t>
        </is>
      </c>
      <c r="J18" s="5" t="inlineStr">
        <is>
          <t>ELIMINAR — es duplicado del borrador de Coomeva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6" customWidth="1" min="4" max="4"/>
    <col width="40" customWidth="1" min="5" max="5"/>
    <col width="20" customWidth="1" min="6" max="6"/>
    <col width="35" customWidth="1" min="7" max="7"/>
    <col width="32" customWidth="1" min="8" max="8"/>
    <col width="52" customWidth="1" min="9" max="9"/>
    <col width="65" customWidth="1" min="10" max="10"/>
  </cols>
  <sheetData>
    <row r="1" ht="36" customHeight="1">
      <c r="A1" s="1" t="inlineStr">
        <is>
          <t>Cuenta Instagram</t>
        </is>
      </c>
      <c r="B1" s="1" t="inlineStr">
        <is>
          <t>Tipo</t>
        </is>
      </c>
      <c r="C1" s="1" t="inlineStr">
        <is>
          <t>¿Seguido?</t>
        </is>
      </c>
      <c r="D1" s="1" t="inlineStr">
        <is>
          <t>¿Comentado?</t>
        </is>
      </c>
      <c r="E1" s="1" t="inlineStr">
        <is>
          <t>Último comentario</t>
        </is>
      </c>
      <c r="F1" s="1" t="inlineStr">
        <is>
          <t>Respuesta</t>
        </is>
      </c>
      <c r="G1" s="1" t="inlineStr">
        <is>
          <t>Notas</t>
        </is>
      </c>
      <c r="H1" s="1" t="inlineStr">
        <is>
          <t>✅ Handle correcto</t>
        </is>
      </c>
      <c r="I1" s="1" t="inlineStr">
        <is>
          <t>🔗 Link al post</t>
        </is>
      </c>
      <c r="J1" s="1" t="inlineStr">
        <is>
          <t>💬 Comentario a dejar</t>
        </is>
      </c>
    </row>
    <row r="2" ht="55" customHeight="1">
      <c r="A2" s="2" t="inlineStr">
        <is>
          <t>@confiarcoop</t>
        </is>
      </c>
      <c r="B2" s="3" t="inlineStr">
        <is>
          <t>Cooperativa</t>
        </is>
      </c>
      <c r="C2" s="4" t="inlineStr">
        <is>
          <t>No</t>
        </is>
      </c>
      <c r="D2" s="4" t="inlineStr">
        <is>
          <t>No</t>
        </is>
      </c>
      <c r="E2" s="5" t="inlineStr"/>
      <c r="F2" s="4" t="inlineStr"/>
      <c r="G2" s="5" t="inlineStr">
        <is>
          <t>Una de las más activas en IG. Comentar sobre noticias del sector</t>
        </is>
      </c>
      <c r="H2" s="3" t="inlineStr">
        <is>
          <t>@confiarcoop</t>
        </is>
      </c>
      <c r="I2" s="5" t="inlineStr">
        <is>
          <t>https://www.instagram.com/confiarcoop/reel/DVJ3Y2jkWgJ/</t>
        </is>
      </c>
      <c r="J2" s="5" t="inlineStr">
        <is>
          <t>Tan importante esa diferencia 💚 Y en el modelo cooperativo la gestión de cartera impacta directo a los asociados — cada peso recuperado a tiempo es más excedente para todos. ¿Han explorado herramientas de IA para anticipar la mora?</t>
        </is>
      </c>
    </row>
    <row r="3" ht="28" customHeight="1">
      <c r="A3" s="2" t="inlineStr">
        <is>
          <t>@coofinep</t>
        </is>
      </c>
      <c r="B3" s="3" t="inlineStr">
        <is>
          <t>Cooperativa</t>
        </is>
      </c>
      <c r="C3" s="4" t="inlineStr">
        <is>
          <t>No</t>
        </is>
      </c>
      <c r="D3" s="4" t="inlineStr">
        <is>
          <t>No</t>
        </is>
      </c>
      <c r="E3" s="5" t="inlineStr"/>
      <c r="F3" s="4" t="inlineStr"/>
      <c r="G3" s="5" t="inlineStr"/>
      <c r="H3" s="23" t="inlineStr">
        <is>
          <t>❌ Sin cuenta activa</t>
        </is>
      </c>
      <c r="I3" s="5" t="inlineStr">
        <is>
          <t>—</t>
        </is>
      </c>
      <c r="J3" s="5" t="inlineStr">
        <is>
          <t>—</t>
        </is>
      </c>
    </row>
    <row r="4" ht="55" customHeight="1">
      <c r="A4" s="2" t="inlineStr">
        <is>
          <t>@cooperativa.financiera.cotrafa</t>
        </is>
      </c>
      <c r="B4" s="3" t="inlineStr">
        <is>
          <t>Cooperativa</t>
        </is>
      </c>
      <c r="C4" s="4" t="inlineStr">
        <is>
          <t>No</t>
        </is>
      </c>
      <c r="D4" s="4" t="inlineStr">
        <is>
          <t>No</t>
        </is>
      </c>
      <c r="E4" s="5" t="inlineStr"/>
      <c r="F4" s="4" t="inlineStr"/>
      <c r="G4" s="5" t="inlineStr">
        <is>
          <t>54 oficinas — alta presencia digital</t>
        </is>
      </c>
      <c r="H4" s="3" t="inlineStr">
        <is>
          <t>@cooperativa.financiera.cotrafa</t>
        </is>
      </c>
      <c r="I4" s="5" t="inlineStr">
        <is>
          <t>https://www.instagram.com/cooperativa.financiera.cotrafa/reel/DZd3U3GmQ2n/</t>
        </is>
      </c>
      <c r="J4" s="5" t="inlineStr">
        <is>
          <t>¡Qué buena dinámica para los asociados! Las cooperativas que innovan en experiencia son las que lideran el sector 🏆 ¿Cómo gestionan la recuperación de cartera en épocas de alta demanda como esta?</t>
        </is>
      </c>
    </row>
    <row r="5" ht="28" customHeight="1">
      <c r="A5" s="2" t="inlineStr">
        <is>
          <t>@jfkcooperativa</t>
        </is>
      </c>
      <c r="B5" s="3" t="inlineStr">
        <is>
          <t>Cooperativa</t>
        </is>
      </c>
      <c r="C5" s="4" t="inlineStr">
        <is>
          <t>No</t>
        </is>
      </c>
      <c r="D5" s="4" t="inlineStr">
        <is>
          <t>No</t>
        </is>
      </c>
      <c r="E5" s="5" t="inlineStr"/>
      <c r="F5" s="4" t="inlineStr"/>
      <c r="G5" s="5" t="inlineStr"/>
      <c r="H5" s="7" t="inlineStr">
        <is>
          <t>⚠️ No verificado — buscar en IG</t>
        </is>
      </c>
      <c r="I5" s="5" t="inlineStr">
        <is>
          <t>—</t>
        </is>
      </c>
      <c r="J5" s="5" t="inlineStr">
        <is>
          <t>—</t>
        </is>
      </c>
    </row>
    <row r="6" ht="55" customHeight="1">
      <c r="A6" s="2" t="inlineStr">
        <is>
          <t>@grupo_coomeva</t>
        </is>
      </c>
      <c r="B6" s="3" t="inlineStr">
        <is>
          <t>Cooperativa</t>
        </is>
      </c>
      <c r="C6" s="4" t="inlineStr">
        <is>
          <t>No</t>
        </is>
      </c>
      <c r="D6" s="4" t="inlineStr">
        <is>
          <t>No</t>
        </is>
      </c>
      <c r="E6" s="5" t="inlineStr"/>
      <c r="F6" s="4" t="inlineStr"/>
      <c r="G6" s="5" t="inlineStr">
        <is>
          <t>Cuenta grande — alta visibilidad</t>
        </is>
      </c>
      <c r="H6" s="3" t="inlineStr">
        <is>
          <t>@grupo_coomeva</t>
        </is>
      </c>
      <c r="I6" s="5" t="inlineStr">
        <is>
          <t>https://www.instagram.com/grupo_coomeva/p/DZGKf4LCrnq/</t>
        </is>
      </c>
      <c r="J6" s="5" t="inlineStr">
        <is>
          <t>Exactamente ese es el poder del modelo cooperativo 💚 El dinero trabaja para el asociado, no para el accionista. Y cuando la gestión de riesgo es predictiva, ese capital se protege antes de que la mora lo erosione.</t>
        </is>
      </c>
    </row>
    <row r="7" ht="28" customHeight="1">
      <c r="A7" s="2" t="inlineStr">
        <is>
          <t>@coopcentral</t>
        </is>
      </c>
      <c r="B7" s="3" t="inlineStr">
        <is>
          <t>Cooperativa / Banco</t>
        </is>
      </c>
      <c r="C7" s="4" t="inlineStr">
        <is>
          <t>No</t>
        </is>
      </c>
      <c r="D7" s="4" t="inlineStr">
        <is>
          <t>No</t>
        </is>
      </c>
      <c r="E7" s="5" t="inlineStr"/>
      <c r="F7" s="4" t="inlineStr"/>
      <c r="G7" s="5" t="inlineStr">
        <is>
          <t>Banco de segundo piso — decisores clave</t>
        </is>
      </c>
      <c r="H7" s="7" t="inlineStr">
        <is>
          <t>⚠️ No verificado — buscar en IG</t>
        </is>
      </c>
      <c r="I7" s="5" t="inlineStr">
        <is>
          <t>—</t>
        </is>
      </c>
      <c r="J7" s="5" t="inlineStr">
        <is>
          <t>—</t>
        </is>
      </c>
    </row>
    <row r="8" ht="28" customHeight="1">
      <c r="A8" s="2" t="inlineStr">
        <is>
          <t>@comultrasan</t>
        </is>
      </c>
      <c r="B8" s="3" t="inlineStr">
        <is>
          <t>Cooperativa</t>
        </is>
      </c>
      <c r="C8" s="4" t="inlineStr">
        <is>
          <t>No</t>
        </is>
      </c>
      <c r="D8" s="4" t="inlineStr">
        <is>
          <t>No</t>
        </is>
      </c>
      <c r="E8" s="5" t="inlineStr"/>
      <c r="F8" s="4" t="inlineStr"/>
      <c r="G8" s="5" t="inlineStr">
        <is>
          <t>Santander — presencia regional fuerte</t>
        </is>
      </c>
      <c r="H8" s="7" t="inlineStr">
        <is>
          <t>⚠️ No verificado — buscar en IG</t>
        </is>
      </c>
      <c r="I8" s="5" t="inlineStr">
        <is>
          <t>—</t>
        </is>
      </c>
      <c r="J8" s="5" t="inlineStr">
        <is>
          <t>—</t>
        </is>
      </c>
    </row>
    <row r="9" ht="28" customHeight="1">
      <c r="A9" s="2" t="inlineStr">
        <is>
          <t>@ayccolanta</t>
        </is>
      </c>
      <c r="B9" s="3" t="inlineStr">
        <is>
          <t>Cooperativa</t>
        </is>
      </c>
      <c r="C9" s="4" t="inlineStr">
        <is>
          <t>No</t>
        </is>
      </c>
      <c r="D9" s="4" t="inlineStr">
        <is>
          <t>No</t>
        </is>
      </c>
      <c r="E9" s="5" t="inlineStr"/>
      <c r="F9" s="4" t="inlineStr"/>
      <c r="G9" s="5" t="inlineStr">
        <is>
          <t>Vinculada a Colanta — base industrial</t>
        </is>
      </c>
      <c r="H9" s="7" t="inlineStr">
        <is>
          <t>⚠️ No verificado — buscar en IG</t>
        </is>
      </c>
      <c r="I9" s="5" t="inlineStr">
        <is>
          <t>—</t>
        </is>
      </c>
      <c r="J9" s="5" t="inlineStr">
        <is>
          <t>—</t>
        </is>
      </c>
    </row>
    <row r="10" ht="28" customHeight="1">
      <c r="A10" s="2" t="inlineStr">
        <is>
          <t>@codema_coop</t>
        </is>
      </c>
      <c r="B10" s="3" t="inlineStr">
        <is>
          <t>Cooperativa</t>
        </is>
      </c>
      <c r="C10" s="4" t="inlineStr">
        <is>
          <t>No</t>
        </is>
      </c>
      <c r="D10" s="4" t="inlineStr">
        <is>
          <t>No</t>
        </is>
      </c>
      <c r="E10" s="5" t="inlineStr"/>
      <c r="F10" s="4" t="inlineStr"/>
      <c r="G10" s="5" t="inlineStr">
        <is>
          <t>Docentes — segmento muy específico</t>
        </is>
      </c>
      <c r="H10" s="7" t="inlineStr">
        <is>
          <t>⚠️ No verificado — buscar en IG</t>
        </is>
      </c>
      <c r="I10" s="5" t="inlineStr">
        <is>
          <t>—</t>
        </is>
      </c>
      <c r="J10" s="5" t="inlineStr">
        <is>
          <t>—</t>
        </is>
      </c>
    </row>
    <row r="11" ht="28" customHeight="1">
      <c r="A11" s="2" t="inlineStr">
        <is>
          <t>@coomuldesa</t>
        </is>
      </c>
      <c r="B11" s="3" t="inlineStr">
        <is>
          <t>Cooperativa</t>
        </is>
      </c>
      <c r="C11" s="4" t="inlineStr">
        <is>
          <t>No</t>
        </is>
      </c>
      <c r="D11" s="4" t="inlineStr">
        <is>
          <t>No</t>
        </is>
      </c>
      <c r="E11" s="5" t="inlineStr"/>
      <c r="F11" s="4" t="inlineStr"/>
      <c r="G11" s="5" t="inlineStr">
        <is>
          <t>Santander y Boyacá</t>
        </is>
      </c>
      <c r="H11" s="7" t="inlineStr">
        <is>
          <t>⚠️ No verificado — buscar en IG</t>
        </is>
      </c>
      <c r="I11" s="5" t="inlineStr">
        <is>
          <t>—</t>
        </is>
      </c>
      <c r="J11" s="5" t="inlineStr">
        <is>
          <t>—</t>
        </is>
      </c>
    </row>
    <row r="12" ht="28" customHeight="1">
      <c r="A12" s="2" t="inlineStr">
        <is>
          <t>@crediservir</t>
        </is>
      </c>
      <c r="B12" s="3" t="inlineStr">
        <is>
          <t>Cooperativa</t>
        </is>
      </c>
      <c r="C12" s="4" t="inlineStr">
        <is>
          <t>No</t>
        </is>
      </c>
      <c r="D12" s="4" t="inlineStr">
        <is>
          <t>No</t>
        </is>
      </c>
      <c r="E12" s="5" t="inlineStr"/>
      <c r="F12" s="4" t="inlineStr"/>
      <c r="G12" s="5" t="inlineStr">
        <is>
          <t>Norte de Santander</t>
        </is>
      </c>
      <c r="H12" s="7" t="inlineStr">
        <is>
          <t>⚠️ No verificado — buscar en IG</t>
        </is>
      </c>
      <c r="I12" s="5" t="inlineStr">
        <is>
          <t>—</t>
        </is>
      </c>
      <c r="J12" s="5" t="inlineStr">
        <is>
          <t>—</t>
        </is>
      </c>
    </row>
    <row r="13" ht="55" customHeight="1">
      <c r="A13" s="2" t="inlineStr">
        <is>
          <t>@addi</t>
        </is>
      </c>
      <c r="B13" s="7" t="inlineStr">
        <is>
          <t>Fintech BNPL</t>
        </is>
      </c>
      <c r="C13" s="4" t="inlineStr">
        <is>
          <t>No</t>
        </is>
      </c>
      <c r="D13" s="4" t="inlineStr">
        <is>
          <t>No</t>
        </is>
      </c>
      <c r="E13" s="5" t="inlineStr"/>
      <c r="F13" s="4" t="inlineStr"/>
      <c r="G13" s="5" t="inlineStr">
        <is>
          <t>Muy activos en IG — audiencia joven</t>
        </is>
      </c>
      <c r="H13" s="3" t="inlineStr">
        <is>
          <t>@addi</t>
        </is>
      </c>
      <c r="I13" s="5" t="inlineStr">
        <is>
          <t>https://www.instagram.com/addi/reel/DZdS31IPfKC/</t>
        </is>
      </c>
      <c r="J13" s="5" t="inlineStr">
        <is>
          <t>Así es — el crédito inteligente no es el más barato, es el que llega en el momento correcto 💙 Y cuando el modelo predictivo identifica quién puede pagar y quién no, todos ganan: el usuario y el negocio.</t>
        </is>
      </c>
    </row>
    <row r="14" ht="55" customHeight="1">
      <c r="A14" s="2" t="inlineStr">
        <is>
          <t>@somosbold.co</t>
        </is>
      </c>
      <c r="B14" s="7" t="inlineStr">
        <is>
          <t>Fintech Pymes</t>
        </is>
      </c>
      <c r="C14" s="4" t="inlineStr">
        <is>
          <t>No</t>
        </is>
      </c>
      <c r="D14" s="4" t="inlineStr">
        <is>
          <t>No</t>
        </is>
      </c>
      <c r="E14" s="5" t="inlineStr"/>
      <c r="F14" s="4" t="inlineStr"/>
      <c r="G14" s="5" t="inlineStr">
        <is>
          <t>Contenido frecuente sobre emprendimiento</t>
        </is>
      </c>
      <c r="H14" s="3" t="inlineStr">
        <is>
          <t>@somosbold.co</t>
        </is>
      </c>
      <c r="I14" s="5" t="inlineStr">
        <is>
          <t>https://www.instagram.com/somosbold.co/p/DZONl9LiChn/</t>
        </is>
      </c>
      <c r="J14" s="5" t="inlineStr">
        <is>
          <t>100% de acuerdo 🇨🇴 Ese comerciante que abre con todo difícil merece herramientas que estén a su altura. La tecnología que predice cuándo un cliente va a incumplir es exactamente eso — darle al negocio tiempo para actuar.</t>
        </is>
      </c>
    </row>
    <row r="15" ht="55" customHeight="1">
      <c r="A15" s="2" t="inlineStr">
        <is>
          <t>@nu.co</t>
        </is>
      </c>
      <c r="B15" s="7" t="inlineStr">
        <is>
          <t>Fintech Tarjeta</t>
        </is>
      </c>
      <c r="C15" s="4" t="inlineStr">
        <is>
          <t>No</t>
        </is>
      </c>
      <c r="D15" s="4" t="inlineStr">
        <is>
          <t>No</t>
        </is>
      </c>
      <c r="E15" s="5" t="inlineStr"/>
      <c r="F15" s="4" t="inlineStr"/>
      <c r="G15" s="5" t="inlineStr">
        <is>
          <t>Cuenta grande y activa</t>
        </is>
      </c>
      <c r="H15" s="3" t="inlineStr">
        <is>
          <t>@nu.co</t>
        </is>
      </c>
      <c r="I15" s="5" t="inlineStr">
        <is>
          <t>https://www.instagram.com/nu.co/reel/DXrmrDsiRVM/</t>
        </is>
      </c>
      <c r="J15" s="5" t="inlineStr">
        <is>
          <t>El mejor agüero financiero es tener datos en tiempo real antes de tomar decisiones 📊💜 Cuando el sistema predice comportamiento de pago antes de que ocurra, la abundancia no es suerte — es estrategia.</t>
        </is>
      </c>
    </row>
    <row r="16" ht="55" customHeight="1">
      <c r="A16" s="2" t="inlineStr">
        <is>
          <t>@bancofalabellacol</t>
        </is>
      </c>
      <c r="B16" s="7" t="inlineStr">
        <is>
          <t>Retail Financiero</t>
        </is>
      </c>
      <c r="C16" s="4" t="inlineStr">
        <is>
          <t>No</t>
        </is>
      </c>
      <c r="D16" s="4" t="inlineStr">
        <is>
          <t>No</t>
        </is>
      </c>
      <c r="E16" s="5" t="inlineStr"/>
      <c r="F16" s="4" t="inlineStr"/>
      <c r="G16" s="5" t="inlineStr"/>
      <c r="H16" s="3" t="inlineStr">
        <is>
          <t>@bancofalabella_co</t>
        </is>
      </c>
      <c r="I16" s="5" t="inlineStr">
        <is>
          <t>https://www.instagram.com/bancofalabella_co/reel/DZdsedNz_M-/</t>
        </is>
      </c>
      <c r="J16" s="5" t="inlineStr">
        <is>
          <t>¡Buena campaña! La innovación en adquisición de clientes es clave 🙌 Y cuando la cartera crece, la gestión predictiva de mora se vuelve igual de importante que el crecimiento mismo.</t>
        </is>
      </c>
    </row>
    <row r="17" ht="55" customHeight="1">
      <c r="A17" s="2" t="inlineStr">
        <is>
          <t>@tuyaesparati</t>
        </is>
      </c>
      <c r="B17" s="7" t="inlineStr">
        <is>
          <t>Retail Financiero</t>
        </is>
      </c>
      <c r="C17" s="4" t="inlineStr">
        <is>
          <t>No</t>
        </is>
      </c>
      <c r="D17" s="4" t="inlineStr">
        <is>
          <t>No</t>
        </is>
      </c>
      <c r="E17" s="5" t="inlineStr"/>
      <c r="F17" s="4" t="inlineStr"/>
      <c r="G17" s="5" t="inlineStr">
        <is>
          <t>Vinculada a Grupo Éxito</t>
        </is>
      </c>
      <c r="H17" s="3" t="inlineStr">
        <is>
          <t>@tuyaesparati</t>
        </is>
      </c>
      <c r="I17" s="5" t="inlineStr">
        <is>
          <t>https://www.instagram.com/tuyaesparati/reel/DZfy2R2xM6r/</t>
        </is>
      </c>
      <c r="J17" s="5" t="inlineStr">
        <is>
          <t>¡El mejor regalo siempre tiene más valor cuando el crédito es accesible! 💳 Tuya entiende perfectamente al consumidor colombiano — ese conocimiento del cliente también es clave para anticipar la mora antes de que escale.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 ht="30" customHeight="1">
      <c r="A1" s="1" t="inlineStr">
        <is>
          <t>Estado</t>
        </is>
      </c>
      <c r="B1" s="1" t="inlineStr">
        <is>
          <t>Cantidad</t>
        </is>
      </c>
    </row>
    <row r="2" ht="28" customHeight="1">
      <c r="A2" s="9" t="inlineStr">
        <is>
          <t>📝 Borrador</t>
        </is>
      </c>
      <c r="B2" s="10">
        <f>COUNTIF('📧 Correos Outreach'!F:F,"📝 Borrador")</f>
        <v/>
      </c>
    </row>
    <row r="3" ht="28" customHeight="1">
      <c r="A3" s="11" t="inlineStr">
        <is>
          <t>✅ Enviado</t>
        </is>
      </c>
      <c r="B3" s="12">
        <f>COUNTIF('📧 Correos Outreach'!F:F,"✅ Enviado")</f>
        <v/>
      </c>
    </row>
    <row r="4" ht="28" customHeight="1">
      <c r="A4" s="13" t="inlineStr">
        <is>
          <t>💬 Respondió</t>
        </is>
      </c>
      <c r="B4" s="14">
        <f>COUNTIF('📧 Correos Outreach'!F:F,"💬 Respondió")</f>
        <v/>
      </c>
    </row>
    <row r="5" ht="28" customHeight="1">
      <c r="A5" s="15" t="inlineStr">
        <is>
          <t>📅 Reunión agendada</t>
        </is>
      </c>
      <c r="B5" s="16">
        <f>COUNTIF('📧 Correos Outreach'!F:F,"📅 Reunión agendada")</f>
        <v/>
      </c>
    </row>
    <row r="6" ht="28" customHeight="1">
      <c r="A6" s="17" t="inlineStr">
        <is>
          <t>❌ No interesado</t>
        </is>
      </c>
      <c r="B6" s="18">
        <f>COUNTIF('📧 Correos Outreach'!F:F,"❌ No interesado")</f>
        <v/>
      </c>
    </row>
    <row r="7" ht="28" customHeight="1">
      <c r="A7" s="17" t="inlineStr">
        <is>
          <t>⚠️ Duplicado (eliminar)</t>
        </is>
      </c>
      <c r="B7" s="18">
        <f>COUNTIF('📧 Correos Outreach'!F:F,"⚠️ Duplicado")</f>
        <v/>
      </c>
    </row>
    <row r="8" ht="28" customHeight="1">
      <c r="A8" s="19" t="inlineStr">
        <is>
          <t>TOTAL activos</t>
        </is>
      </c>
      <c r="B8" s="20">
        <f>SUMPRODUCT(('📧 Correos Outreach'!F2:F50&lt;&gt;"")*('📧 Correos Outreach'!F2:F50&lt;&gt;"⚠️ Duplicado"))</f>
        <v/>
      </c>
    </row>
    <row r="10">
      <c r="A10" s="21" t="inlineStr">
        <is>
          <t>💡 Cómo usar este archivo</t>
        </is>
      </c>
    </row>
    <row r="11" ht="20" customHeight="1">
      <c r="A11" s="22" t="inlineStr">
        <is>
          <t>1. Cuando envíes un correo, cambia Estado a ✅ Enviado</t>
        </is>
      </c>
    </row>
    <row r="12" ht="20" customHeight="1">
      <c r="A12" s="22" t="inlineStr">
        <is>
          <t>2. Si responden, cambia a 💬 Respondió y agrega notas</t>
        </is>
      </c>
    </row>
    <row r="13" ht="20" customHeight="1">
      <c r="A13" s="22" t="inlineStr">
        <is>
          <t>3. Si agendas reunión, cambia a 📅 Reunión agendada</t>
        </is>
      </c>
    </row>
    <row r="14" ht="20" customHeight="1">
      <c r="A14" s="22" t="inlineStr">
        <is>
          <t>4. Elimina filas marcadas como "⚠️ Duplicado" de Gmail antes de enviar</t>
        </is>
      </c>
    </row>
    <row r="15" ht="20" customHeight="1">
      <c r="A15" s="22" t="inlineStr">
        <is>
          <t>5. En la hoja Instagram, marca ✅ cuando sigas/comentes cada cuenta</t>
        </is>
      </c>
    </row>
    <row r="16" ht="20" customHeight="1">
      <c r="A16" s="22" t="inlineStr">
        <is>
          <t>6. Video insertado: cambia ❌ No → ✅ Sí cuando pegues el enlace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2026-06-10T23:57:32Z</dcterms:created>
  <dcterms:modified xmlns:dcterms="http://purl.org/dc/terms/" xmlns:xsi="http://www.w3.org/2001/XMLSchema-instance" xsi:type="dcterms:W3CDTF">2026-06-12T20:18:29Z</dcterms:modified>
</cp:coreProperties>
</file>